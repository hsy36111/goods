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sy36\OneDrive\바탕 화면\굿즈견적서\"/>
    </mc:Choice>
  </mc:AlternateContent>
  <xr:revisionPtr revIDLastSave="0" documentId="13_ncr:1_{24D2E1E9-4850-4269-AE7B-13E725848A41}" xr6:coauthVersionLast="47" xr6:coauthVersionMax="47" xr10:uidLastSave="{00000000-0000-0000-0000-000000000000}"/>
  <bookViews>
    <workbookView xWindow="-28920" yWindow="1530" windowWidth="29040" windowHeight="15720" xr2:uid="{00000000-000D-0000-FFFF-FFFF00000000}"/>
  </bookViews>
  <sheets>
    <sheet name="U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D37" i="1"/>
  <c r="K31" i="1"/>
  <c r="K27" i="1"/>
  <c r="F27" i="1"/>
  <c r="K26" i="1"/>
  <c r="F26" i="1"/>
  <c r="K25" i="1"/>
  <c r="F25" i="1"/>
  <c r="K24" i="1"/>
  <c r="F24" i="1"/>
  <c r="F23" i="1"/>
  <c r="F22" i="1"/>
  <c r="K21" i="1"/>
  <c r="F21" i="1"/>
  <c r="K20" i="1"/>
  <c r="F20" i="1" s="1"/>
  <c r="K19" i="1"/>
  <c r="F19" i="1" s="1"/>
  <c r="K18" i="1"/>
  <c r="F18" i="1" s="1"/>
  <c r="K17" i="1"/>
  <c r="F17" i="1"/>
  <c r="E29" i="1" l="1"/>
  <c r="H38" i="1"/>
  <c r="H39" i="1"/>
  <c r="H41" i="1" l="1"/>
  <c r="G14" i="1"/>
  <c r="H40" i="1"/>
</calcChain>
</file>

<file path=xl/sharedStrings.xml><?xml version="1.0" encoding="utf-8"?>
<sst xmlns="http://schemas.openxmlformats.org/spreadsheetml/2006/main" count="98" uniqueCount="92">
  <si>
    <t>대분류</t>
  </si>
  <si>
    <t>DIY: 도안 마진배율 2배</t>
  </si>
  <si>
    <t>총 금액 30이하 시 스스금액으로</t>
  </si>
  <si>
    <t>문서번호</t>
  </si>
  <si>
    <t>251218_01</t>
  </si>
  <si>
    <t>사업자번호</t>
  </si>
  <si>
    <t>688-03-01678</t>
  </si>
  <si>
    <t>견적서 메일서식 : 1.9% 검색</t>
  </si>
  <si>
    <t>견 적 일:</t>
  </si>
  <si>
    <t>상호</t>
  </si>
  <si>
    <t>로하니앤코</t>
  </si>
  <si>
    <t>성명</t>
  </si>
  <si>
    <t>노슬기</t>
  </si>
  <si>
    <t>도안유형 이미지 : 🎈 검색</t>
  </si>
  <si>
    <t>주소</t>
  </si>
  <si>
    <t>경기 김포시 풍무2로 25 코튼빌딩 712호 로하니앤코</t>
  </si>
  <si>
    <t>업태/ 종목</t>
  </si>
  <si>
    <t>제조업 및 서비스</t>
  </si>
  <si>
    <t>③NFC</t>
  </si>
  <si>
    <t>전화번호</t>
  </si>
  <si>
    <t>010-8281-7461</t>
  </si>
  <si>
    <t>⑤뒷장-기본</t>
  </si>
  <si>
    <t>⑤뒷장-ㄷ자</t>
  </si>
  <si>
    <t>아래와 같이 견적합니다.</t>
  </si>
  <si>
    <t>⑥앞장-기본</t>
  </si>
  <si>
    <t>⑥앞장-투명</t>
  </si>
  <si>
    <t>제작수량</t>
  </si>
  <si>
    <t>총 합계</t>
  </si>
  <si>
    <t>⑥앞장-V</t>
  </si>
  <si>
    <t>⑥앞장-N</t>
  </si>
  <si>
    <t>품명</t>
  </si>
  <si>
    <t>규격</t>
  </si>
  <si>
    <t>단가/*수량</t>
  </si>
  <si>
    <t>도안갯수</t>
  </si>
  <si>
    <t>금액</t>
  </si>
  <si>
    <t>가격조정</t>
  </si>
  <si>
    <t>메모</t>
  </si>
  <si>
    <t>비고</t>
  </si>
  <si>
    <t>제작 업체</t>
  </si>
  <si>
    <t>제작 단가</t>
  </si>
  <si>
    <t>미니CD+케이스</t>
  </si>
  <si>
    <t>홀로그램 포함</t>
  </si>
  <si>
    <t>1390</t>
  </si>
  <si>
    <t>내지 및 스티커 제작</t>
  </si>
  <si>
    <t>*앞|기본형</t>
  </si>
  <si>
    <t>마진배율</t>
  </si>
  <si>
    <t>레드프린팅</t>
  </si>
  <si>
    <t>*스티커</t>
  </si>
  <si>
    <t>1000</t>
  </si>
  <si>
    <t>애즈랜드</t>
  </si>
  <si>
    <t>NFC 태그</t>
  </si>
  <si>
    <t>태그 포함</t>
  </si>
  <si>
    <t>1100</t>
  </si>
  <si>
    <t>CD커버 끼움공정(뒤)</t>
  </si>
  <si>
    <t>ㄷ자형</t>
  </si>
  <si>
    <t>2100</t>
  </si>
  <si>
    <t>CD커버 끼움공정(앞)</t>
  </si>
  <si>
    <t>기본형</t>
  </si>
  <si>
    <t>포장</t>
  </si>
  <si>
    <t>개별OPP</t>
  </si>
  <si>
    <t>450</t>
  </si>
  <si>
    <t>배송비</t>
  </si>
  <si>
    <t>택배</t>
  </si>
  <si>
    <t>10</t>
  </si>
  <si>
    <t>할인</t>
  </si>
  <si>
    <t>대량 할인</t>
  </si>
  <si>
    <t>합계</t>
  </si>
  <si>
    <t>총 합계 금액</t>
  </si>
  <si>
    <t xml:space="preserve">NFC 미태그 </t>
  </si>
  <si>
    <t>&lt;특기사항&gt;</t>
  </si>
  <si>
    <t>태그금액과 차액</t>
  </si>
  <si>
    <t>-요청주신 미니CD 완제품, 도안1종 1천개, NFC 태그포함, 개별OPP포장, 택배발송 안내드립니다.</t>
  </si>
  <si>
    <t>-견적서는 일주일 간 적용됩니다.</t>
  </si>
  <si>
    <t>-서비스 할인금액:</t>
  </si>
  <si>
    <t>NFC 태그로</t>
  </si>
  <si>
    <t>조립할인</t>
  </si>
  <si>
    <t>총 할인율</t>
  </si>
  <si>
    <t>PET 가격할인</t>
  </si>
  <si>
    <t>CD가</t>
  </si>
  <si>
    <t>&lt;팬시샵 OPP포장&gt;</t>
  </si>
  <si>
    <t>&lt;팬시샵 PET포장&gt;</t>
  </si>
  <si>
    <t>PET케이스</t>
  </si>
  <si>
    <t>몇개??</t>
  </si>
  <si>
    <t>500개</t>
  </si>
  <si>
    <t>NFC포함인지????????</t>
  </si>
  <si>
    <t>1000개</t>
  </si>
  <si>
    <t>3000개</t>
  </si>
  <si>
    <r>
      <rPr>
        <b/>
        <sz val="18"/>
        <color theme="1"/>
        <rFont val="맑은 고딕"/>
        <family val="3"/>
        <charset val="129"/>
      </rPr>
      <t>미니</t>
    </r>
    <r>
      <rPr>
        <b/>
        <sz val="18"/>
        <color theme="1"/>
        <rFont val="Arial"/>
        <family val="2"/>
      </rPr>
      <t>CD</t>
    </r>
    <r>
      <rPr>
        <b/>
        <sz val="18"/>
        <color theme="1"/>
        <rFont val="맑은 고딕"/>
        <family val="3"/>
        <charset val="129"/>
      </rPr>
      <t>키링</t>
    </r>
    <r>
      <rPr>
        <b/>
        <sz val="18"/>
        <color theme="1"/>
        <rFont val="Arial"/>
        <family val="2"/>
      </rPr>
      <t xml:space="preserve"> </t>
    </r>
    <r>
      <rPr>
        <b/>
        <sz val="18"/>
        <color theme="1"/>
        <rFont val="맑은 고딕"/>
        <family val="3"/>
        <charset val="129"/>
      </rPr>
      <t>견적서</t>
    </r>
    <phoneticPr fontId="20" type="noConversion"/>
  </si>
  <si>
    <r>
      <rPr>
        <b/>
        <sz val="9"/>
        <color theme="1"/>
        <rFont val="맑은 고딕"/>
        <family val="3"/>
        <charset val="129"/>
      </rPr>
      <t>개당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가격</t>
    </r>
    <r>
      <rPr>
        <b/>
        <sz val="9"/>
        <color theme="1"/>
        <rFont val="Arial"/>
        <family val="2"/>
      </rPr>
      <t xml:space="preserve"> (vat X)</t>
    </r>
    <phoneticPr fontId="20" type="noConversion"/>
  </si>
  <si>
    <r>
      <rPr>
        <b/>
        <sz val="9"/>
        <color theme="1"/>
        <rFont val="맑은 고딕"/>
        <family val="3"/>
        <charset val="129"/>
      </rPr>
      <t>개당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가격</t>
    </r>
    <r>
      <rPr>
        <b/>
        <sz val="9"/>
        <color theme="1"/>
        <rFont val="Arial"/>
        <family val="2"/>
      </rPr>
      <t xml:space="preserve"> (vat</t>
    </r>
    <r>
      <rPr>
        <b/>
        <sz val="9"/>
        <color theme="1"/>
        <rFont val="맑은 고딕"/>
        <family val="3"/>
        <charset val="129"/>
      </rPr>
      <t>포함</t>
    </r>
    <r>
      <rPr>
        <b/>
        <sz val="9"/>
        <color theme="1"/>
        <rFont val="Arial"/>
        <family val="2"/>
      </rPr>
      <t>)</t>
    </r>
    <phoneticPr fontId="20" type="noConversion"/>
  </si>
  <si>
    <r>
      <t>*</t>
    </r>
    <r>
      <rPr>
        <sz val="10"/>
        <color theme="1"/>
        <rFont val="맑은 고딕"/>
        <family val="3"/>
        <charset val="129"/>
      </rPr>
      <t>뒤</t>
    </r>
    <r>
      <rPr>
        <sz val="10"/>
        <color theme="1"/>
        <rFont val="Arial"/>
        <family val="2"/>
      </rPr>
      <t>|</t>
    </r>
    <r>
      <rPr>
        <sz val="10"/>
        <color theme="1"/>
        <rFont val="맑은 고딕"/>
        <family val="3"/>
        <charset val="129"/>
      </rPr>
      <t>ㄷ자형</t>
    </r>
    <phoneticPr fontId="20" type="noConversion"/>
  </si>
  <si>
    <t>담당자님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</si>
</sst>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&quot;₩&quot;#,##0"/>
    <numFmt numFmtId="178" formatCode="0.0%"/>
  </numFmts>
  <fonts count="26">
    <font>
      <sz val="10"/>
      <color rgb="FF000000"/>
      <name val="Arial"/>
      <scheme val="minor"/>
    </font>
    <font>
      <sz val="10"/>
      <color theme="1"/>
      <name val="Arial"/>
      <family val="2"/>
    </font>
    <font>
      <sz val="13"/>
      <color rgb="FFB7B7B7"/>
      <name val="Arial"/>
      <family val="2"/>
    </font>
    <font>
      <b/>
      <sz val="18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0"/>
      <color rgb="FF6AA84F"/>
      <name val="Arial"/>
      <family val="2"/>
    </font>
    <font>
      <sz val="10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rgb="FF999999"/>
      <name val="Batang"/>
      <family val="1"/>
      <charset val="129"/>
    </font>
    <font>
      <b/>
      <sz val="10"/>
      <color theme="1"/>
      <name val="Batang"/>
      <family val="1"/>
      <charset val="129"/>
    </font>
    <font>
      <sz val="10"/>
      <color theme="1"/>
      <name val="Batang"/>
      <family val="1"/>
      <charset val="129"/>
    </font>
    <font>
      <b/>
      <sz val="9"/>
      <color theme="1"/>
      <name val="Arial"/>
      <family val="2"/>
    </font>
    <font>
      <b/>
      <sz val="11"/>
      <color theme="1"/>
      <name val="Batang"/>
      <family val="1"/>
      <charset val="129"/>
    </font>
    <font>
      <b/>
      <sz val="11"/>
      <color rgb="FFFF0000"/>
      <name val="Batang"/>
      <family val="1"/>
      <charset val="129"/>
    </font>
    <font>
      <sz val="8"/>
      <name val="Arial"/>
      <family val="3"/>
      <charset val="129"/>
      <scheme val="minor"/>
    </font>
    <font>
      <b/>
      <sz val="18"/>
      <color theme="1"/>
      <name val="맑은 고딕"/>
      <family val="3"/>
      <charset val="129"/>
    </font>
    <font>
      <b/>
      <sz val="18"/>
      <color theme="1"/>
      <name val="Arial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3"/>
      <charset val="129"/>
    </font>
    <font>
      <sz val="10"/>
      <color theme="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8F3FC"/>
        <bgColor rgb="FFE8F3F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5F5"/>
        <bgColor rgb="FFFFF5F5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rgb="FFFFFF00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3" fontId="1" fillId="2" borderId="0" xfId="0" applyNumberFormat="1" applyFont="1" applyFill="1"/>
    <xf numFmtId="3" fontId="1" fillId="0" borderId="0" xfId="0" applyNumberFormat="1" applyFont="1"/>
    <xf numFmtId="3" fontId="1" fillId="0" borderId="1" xfId="0" applyNumberFormat="1" applyFont="1" applyBorder="1"/>
    <xf numFmtId="0" fontId="1" fillId="0" borderId="1" xfId="0" applyFont="1" applyBorder="1"/>
    <xf numFmtId="0" fontId="4" fillId="2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3" fontId="5" fillId="3" borderId="2" xfId="0" applyNumberFormat="1" applyFont="1" applyFill="1" applyBorder="1" applyAlignment="1">
      <alignment horizontal="center"/>
    </xf>
    <xf numFmtId="176" fontId="5" fillId="0" borderId="0" xfId="0" applyNumberFormat="1" applyFon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4" xfId="0" applyFont="1" applyBorder="1"/>
    <xf numFmtId="0" fontId="7" fillId="0" borderId="2" xfId="0" applyFont="1" applyBorder="1"/>
    <xf numFmtId="0" fontId="1" fillId="0" borderId="2" xfId="0" applyFont="1" applyBorder="1"/>
    <xf numFmtId="0" fontId="1" fillId="0" borderId="4" xfId="0" applyFont="1" applyBorder="1"/>
    <xf numFmtId="3" fontId="1" fillId="2" borderId="0" xfId="0" applyNumberFormat="1" applyFont="1" applyFill="1" applyAlignment="1">
      <alignment horizontal="right"/>
    </xf>
    <xf numFmtId="3" fontId="5" fillId="3" borderId="5" xfId="0" applyNumberFormat="1" applyFont="1" applyFill="1" applyBorder="1" applyAlignment="1">
      <alignment horizontal="center"/>
    </xf>
    <xf numFmtId="0" fontId="5" fillId="0" borderId="5" xfId="0" applyFont="1" applyBorder="1"/>
    <xf numFmtId="0" fontId="1" fillId="0" borderId="5" xfId="0" applyFont="1" applyBorder="1"/>
    <xf numFmtId="0" fontId="8" fillId="2" borderId="0" xfId="0" applyFont="1" applyFill="1"/>
    <xf numFmtId="3" fontId="8" fillId="2" borderId="0" xfId="0" applyNumberFormat="1" applyFont="1" applyFill="1" applyAlignment="1">
      <alignment horizontal="right"/>
    </xf>
    <xf numFmtId="0" fontId="9" fillId="2" borderId="0" xfId="0" applyFont="1" applyFill="1"/>
    <xf numFmtId="3" fontId="9" fillId="2" borderId="0" xfId="0" applyNumberFormat="1" applyFont="1" applyFill="1" applyAlignment="1">
      <alignment horizontal="right"/>
    </xf>
    <xf numFmtId="0" fontId="1" fillId="0" borderId="7" xfId="0" applyFont="1" applyBorder="1" applyAlignment="1">
      <alignment horizontal="center"/>
    </xf>
    <xf numFmtId="0" fontId="1" fillId="2" borderId="8" xfId="0" applyFont="1" applyFill="1" applyBorder="1"/>
    <xf numFmtId="3" fontId="1" fillId="2" borderId="8" xfId="0" applyNumberFormat="1" applyFont="1" applyFill="1" applyBorder="1"/>
    <xf numFmtId="0" fontId="10" fillId="4" borderId="7" xfId="0" applyFont="1" applyFill="1" applyBorder="1" applyAlignment="1">
      <alignment horizontal="center"/>
    </xf>
    <xf numFmtId="3" fontId="10" fillId="4" borderId="7" xfId="0" applyNumberFormat="1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" fillId="2" borderId="1" xfId="0" applyFont="1" applyFill="1" applyBorder="1"/>
    <xf numFmtId="49" fontId="1" fillId="2" borderId="7" xfId="0" applyNumberFormat="1" applyFont="1" applyFill="1" applyBorder="1"/>
    <xf numFmtId="49" fontId="1" fillId="2" borderId="9" xfId="0" applyNumberFormat="1" applyFont="1" applyFill="1" applyBorder="1"/>
    <xf numFmtId="0" fontId="1" fillId="2" borderId="7" xfId="0" applyFont="1" applyFill="1" applyBorder="1"/>
    <xf numFmtId="3" fontId="1" fillId="2" borderId="10" xfId="0" applyNumberFormat="1" applyFont="1" applyFill="1" applyBorder="1" applyAlignment="1">
      <alignment horizontal="center"/>
    </xf>
    <xf numFmtId="49" fontId="1" fillId="2" borderId="1" xfId="0" applyNumberFormat="1" applyFont="1" applyFill="1" applyBorder="1"/>
    <xf numFmtId="0" fontId="1" fillId="2" borderId="7" xfId="0" applyFont="1" applyFill="1" applyBorder="1" applyAlignment="1">
      <alignment horizontal="right"/>
    </xf>
    <xf numFmtId="49" fontId="1" fillId="2" borderId="0" xfId="0" applyNumberFormat="1" applyFont="1" applyFill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0" fontId="1" fillId="6" borderId="0" xfId="0" applyFont="1" applyFill="1"/>
    <xf numFmtId="3" fontId="1" fillId="6" borderId="0" xfId="0" applyNumberFormat="1" applyFont="1" applyFill="1"/>
    <xf numFmtId="3" fontId="1" fillId="2" borderId="7" xfId="0" applyNumberFormat="1" applyFont="1" applyFill="1" applyBorder="1" applyAlignment="1">
      <alignment horizontal="center"/>
    </xf>
    <xf numFmtId="49" fontId="1" fillId="2" borderId="11" xfId="0" applyNumberFormat="1" applyFont="1" applyFill="1" applyBorder="1" applyAlignment="1">
      <alignment horizontal="center"/>
    </xf>
    <xf numFmtId="49" fontId="1" fillId="2" borderId="12" xfId="0" applyNumberFormat="1" applyFont="1" applyFill="1" applyBorder="1" applyAlignment="1">
      <alignment horizontal="center"/>
    </xf>
    <xf numFmtId="49" fontId="1" fillId="6" borderId="0" xfId="0" applyNumberFormat="1" applyFont="1" applyFill="1"/>
    <xf numFmtId="0" fontId="1" fillId="2" borderId="6" xfId="0" applyFont="1" applyFill="1" applyBorder="1"/>
    <xf numFmtId="49" fontId="1" fillId="7" borderId="0" xfId="0" applyNumberFormat="1" applyFont="1" applyFill="1"/>
    <xf numFmtId="3" fontId="1" fillId="7" borderId="0" xfId="0" applyNumberFormat="1" applyFont="1" applyFill="1"/>
    <xf numFmtId="49" fontId="1" fillId="2" borderId="11" xfId="0" applyNumberFormat="1" applyFont="1" applyFill="1" applyBorder="1"/>
    <xf numFmtId="0" fontId="1" fillId="2" borderId="7" xfId="0" applyFont="1" applyFill="1" applyBorder="1" applyAlignment="1">
      <alignment horizontal="center"/>
    </xf>
    <xf numFmtId="49" fontId="1" fillId="2" borderId="0" xfId="0" applyNumberFormat="1" applyFont="1" applyFill="1"/>
    <xf numFmtId="3" fontId="1" fillId="2" borderId="13" xfId="0" applyNumberFormat="1" applyFont="1" applyFill="1" applyBorder="1" applyAlignment="1">
      <alignment horizontal="center"/>
    </xf>
    <xf numFmtId="49" fontId="1" fillId="2" borderId="14" xfId="0" applyNumberFormat="1" applyFont="1" applyFill="1" applyBorder="1"/>
    <xf numFmtId="3" fontId="1" fillId="2" borderId="15" xfId="0" applyNumberFormat="1" applyFont="1" applyFill="1" applyBorder="1" applyAlignment="1">
      <alignment horizontal="center"/>
    </xf>
    <xf numFmtId="49" fontId="1" fillId="2" borderId="13" xfId="0" applyNumberFormat="1" applyFont="1" applyFill="1" applyBorder="1"/>
    <xf numFmtId="49" fontId="1" fillId="2" borderId="13" xfId="0" applyNumberFormat="1" applyFont="1" applyFill="1" applyBorder="1" applyAlignment="1">
      <alignment horizontal="center"/>
    </xf>
    <xf numFmtId="0" fontId="11" fillId="7" borderId="8" xfId="0" applyFont="1" applyFill="1" applyBorder="1" applyAlignment="1">
      <alignment horizontal="center"/>
    </xf>
    <xf numFmtId="0" fontId="1" fillId="7" borderId="7" xfId="0" applyFont="1" applyFill="1" applyBorder="1"/>
    <xf numFmtId="0" fontId="1" fillId="7" borderId="1" xfId="0" applyFont="1" applyFill="1" applyBorder="1"/>
    <xf numFmtId="3" fontId="5" fillId="7" borderId="15" xfId="0" applyNumberFormat="1" applyFont="1" applyFill="1" applyBorder="1" applyAlignment="1">
      <alignment horizontal="center"/>
    </xf>
    <xf numFmtId="0" fontId="11" fillId="7" borderId="13" xfId="0" applyFont="1" applyFill="1" applyBorder="1" applyAlignment="1">
      <alignment horizontal="center"/>
    </xf>
    <xf numFmtId="49" fontId="1" fillId="7" borderId="13" xfId="0" applyNumberFormat="1" applyFont="1" applyFill="1" applyBorder="1" applyAlignment="1">
      <alignment horizontal="center"/>
    </xf>
    <xf numFmtId="0" fontId="1" fillId="2" borderId="15" xfId="0" applyFont="1" applyFill="1" applyBorder="1"/>
    <xf numFmtId="0" fontId="1" fillId="7" borderId="13" xfId="0" applyFont="1" applyFill="1" applyBorder="1"/>
    <xf numFmtId="0" fontId="10" fillId="7" borderId="13" xfId="0" applyFont="1" applyFill="1" applyBorder="1" applyAlignment="1">
      <alignment horizontal="center"/>
    </xf>
    <xf numFmtId="0" fontId="1" fillId="2" borderId="13" xfId="0" applyFont="1" applyFill="1" applyBorder="1"/>
    <xf numFmtId="0" fontId="5" fillId="2" borderId="0" xfId="0" applyFont="1" applyFill="1"/>
    <xf numFmtId="0" fontId="12" fillId="2" borderId="0" xfId="0" applyFont="1" applyFill="1"/>
    <xf numFmtId="178" fontId="1" fillId="2" borderId="0" xfId="0" applyNumberFormat="1" applyFont="1" applyFill="1"/>
    <xf numFmtId="0" fontId="13" fillId="8" borderId="0" xfId="0" applyFont="1" applyFill="1" applyAlignment="1">
      <alignment horizontal="center"/>
    </xf>
    <xf numFmtId="10" fontId="13" fillId="7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3" fontId="14" fillId="0" borderId="0" xfId="0" applyNumberFormat="1" applyFont="1" applyAlignment="1">
      <alignment horizontal="center"/>
    </xf>
    <xf numFmtId="0" fontId="15" fillId="2" borderId="0" xfId="0" applyFont="1" applyFill="1"/>
    <xf numFmtId="3" fontId="16" fillId="2" borderId="0" xfId="0" applyNumberFormat="1" applyFont="1" applyFill="1" applyAlignment="1">
      <alignment horizontal="center"/>
    </xf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3" fontId="18" fillId="0" borderId="0" xfId="0" applyNumberFormat="1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24" fillId="0" borderId="0" xfId="0" applyFont="1" applyAlignment="1">
      <alignment horizontal="right"/>
    </xf>
    <xf numFmtId="49" fontId="1" fillId="9" borderId="7" xfId="0" applyNumberFormat="1" applyFont="1" applyFill="1" applyBorder="1"/>
    <xf numFmtId="0" fontId="25" fillId="0" borderId="0" xfId="0" applyFont="1"/>
    <xf numFmtId="0" fontId="5" fillId="2" borderId="11" xfId="0" applyFont="1" applyFill="1" applyBorder="1" applyAlignment="1">
      <alignment horizontal="center"/>
    </xf>
    <xf numFmtId="0" fontId="6" fillId="0" borderId="6" xfId="0" applyFont="1" applyBorder="1"/>
    <xf numFmtId="0" fontId="6" fillId="0" borderId="10" xfId="0" applyFont="1" applyBorder="1"/>
    <xf numFmtId="0" fontId="5" fillId="2" borderId="6" xfId="0" applyFont="1" applyFill="1" applyBorder="1" applyAlignment="1">
      <alignment horizontal="center"/>
    </xf>
    <xf numFmtId="3" fontId="5" fillId="2" borderId="11" xfId="0" applyNumberFormat="1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0" fontId="0" fillId="0" borderId="0" xfId="0"/>
    <xf numFmtId="0" fontId="5" fillId="0" borderId="3" xfId="0" applyFont="1" applyBorder="1" applyAlignment="1">
      <alignment horizontal="center"/>
    </xf>
    <xf numFmtId="0" fontId="6" fillId="0" borderId="3" xfId="0" applyFont="1" applyBorder="1"/>
    <xf numFmtId="0" fontId="5" fillId="0" borderId="0" xfId="0" applyFont="1"/>
    <xf numFmtId="0" fontId="5" fillId="3" borderId="6" xfId="0" applyFont="1" applyFill="1" applyBorder="1" applyAlignment="1">
      <alignment horizontal="center"/>
    </xf>
    <xf numFmtId="3" fontId="5" fillId="3" borderId="6" xfId="0" applyNumberFormat="1" applyFont="1" applyFill="1" applyBorder="1" applyAlignment="1">
      <alignment horizontal="center"/>
    </xf>
    <xf numFmtId="177" fontId="5" fillId="2" borderId="6" xfId="0" applyNumberFormat="1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2"/>
  <sheetViews>
    <sheetView tabSelected="1" topLeftCell="A3" workbookViewId="0">
      <selection activeCell="L27" sqref="L27"/>
    </sheetView>
  </sheetViews>
  <sheetFormatPr defaultColWidth="12.5703125" defaultRowHeight="15.75" customHeight="1"/>
  <sheetData>
    <row r="1" spans="1:11" ht="12.75">
      <c r="A1" s="1"/>
      <c r="B1" s="2"/>
      <c r="C1" s="2"/>
      <c r="D1" s="2"/>
      <c r="E1" s="2"/>
      <c r="F1" s="1"/>
      <c r="G1" s="2"/>
      <c r="H1" s="1"/>
      <c r="I1" s="1"/>
      <c r="J1" s="1"/>
      <c r="K1" s="2"/>
    </row>
    <row r="2" spans="1:11" ht="12.75">
      <c r="A2" s="1"/>
      <c r="B2" s="2"/>
      <c r="C2" s="2"/>
      <c r="D2" s="2"/>
      <c r="E2" s="2"/>
      <c r="F2" s="1"/>
      <c r="G2" s="2"/>
      <c r="H2" s="1"/>
      <c r="I2" s="1"/>
      <c r="J2" s="1"/>
      <c r="K2" s="2"/>
    </row>
    <row r="3" spans="1:11" ht="28.5" customHeight="1">
      <c r="A3" s="1"/>
      <c r="B3" s="3" t="s">
        <v>0</v>
      </c>
      <c r="C3" s="90" t="s">
        <v>87</v>
      </c>
      <c r="D3" s="91"/>
      <c r="E3" s="91"/>
      <c r="F3" s="91"/>
      <c r="G3" s="91"/>
      <c r="H3" s="91"/>
      <c r="I3" s="2"/>
      <c r="J3" s="4"/>
      <c r="K3" s="2"/>
    </row>
    <row r="4" spans="1:11" ht="12.75">
      <c r="A4" s="1"/>
      <c r="B4" s="1"/>
      <c r="C4" s="1"/>
      <c r="D4" s="1"/>
      <c r="E4" s="5"/>
      <c r="F4" s="1"/>
      <c r="G4" s="1"/>
      <c r="H4" s="1"/>
      <c r="I4" s="2" t="s">
        <v>1</v>
      </c>
      <c r="J4" s="4"/>
      <c r="K4" s="2"/>
    </row>
    <row r="5" spans="1:11" ht="12.75">
      <c r="A5" s="1"/>
      <c r="B5" s="1"/>
      <c r="C5" s="1"/>
      <c r="D5" s="1"/>
      <c r="E5" s="6"/>
      <c r="F5" s="7"/>
      <c r="G5" s="7"/>
      <c r="H5" s="7"/>
      <c r="I5" s="8" t="s">
        <v>2</v>
      </c>
      <c r="J5" s="4"/>
      <c r="K5" s="2"/>
    </row>
    <row r="6" spans="1:11" ht="14.25">
      <c r="A6" s="1"/>
      <c r="B6" s="9" t="s">
        <v>3</v>
      </c>
      <c r="C6" s="10" t="s">
        <v>4</v>
      </c>
      <c r="D6" s="1"/>
      <c r="E6" s="11" t="s">
        <v>5</v>
      </c>
      <c r="F6" s="92" t="s">
        <v>6</v>
      </c>
      <c r="G6" s="93"/>
      <c r="H6" s="93"/>
      <c r="I6" s="2" t="s">
        <v>7</v>
      </c>
      <c r="J6" s="4"/>
      <c r="K6" s="1"/>
    </row>
    <row r="7" spans="1:11" ht="14.25">
      <c r="A7" s="1"/>
      <c r="B7" s="9" t="s">
        <v>8</v>
      </c>
      <c r="C7" s="12">
        <v>46030</v>
      </c>
      <c r="D7" s="1"/>
      <c r="E7" s="11" t="s">
        <v>9</v>
      </c>
      <c r="F7" s="13" t="s">
        <v>10</v>
      </c>
      <c r="G7" s="14" t="s">
        <v>11</v>
      </c>
      <c r="H7" s="15" t="s">
        <v>12</v>
      </c>
      <c r="I7" s="2" t="s">
        <v>13</v>
      </c>
      <c r="J7" s="4"/>
      <c r="K7" s="1"/>
    </row>
    <row r="8" spans="1:11" ht="14.25">
      <c r="A8" s="1"/>
      <c r="B8" s="1"/>
      <c r="C8" s="1"/>
      <c r="D8" s="1"/>
      <c r="E8" s="11" t="s">
        <v>14</v>
      </c>
      <c r="F8" s="16" t="s">
        <v>15</v>
      </c>
      <c r="G8" s="17"/>
      <c r="H8" s="18"/>
      <c r="I8" s="2"/>
      <c r="J8" s="4"/>
      <c r="K8" s="1"/>
    </row>
    <row r="9" spans="1:11" ht="14.25">
      <c r="A9" s="1"/>
      <c r="B9" s="1"/>
      <c r="C9" s="1"/>
      <c r="D9" s="1"/>
      <c r="E9" s="11" t="s">
        <v>16</v>
      </c>
      <c r="F9" s="13" t="s">
        <v>17</v>
      </c>
      <c r="G9" s="17"/>
      <c r="H9" s="18"/>
      <c r="I9" s="2" t="s">
        <v>18</v>
      </c>
      <c r="J9" s="19">
        <v>1100</v>
      </c>
      <c r="K9" s="1"/>
    </row>
    <row r="10" spans="1:11" ht="15">
      <c r="A10" s="1"/>
      <c r="B10" s="84" t="s">
        <v>91</v>
      </c>
      <c r="C10" s="1"/>
      <c r="D10" s="1"/>
      <c r="E10" s="20" t="s">
        <v>19</v>
      </c>
      <c r="F10" s="21" t="s">
        <v>20</v>
      </c>
      <c r="G10" s="22"/>
      <c r="H10" s="7"/>
      <c r="I10" s="23" t="s">
        <v>21</v>
      </c>
      <c r="J10" s="24">
        <v>1600</v>
      </c>
      <c r="K10" s="1"/>
    </row>
    <row r="11" spans="1:11" ht="12.75">
      <c r="A11" s="1"/>
      <c r="B11" s="2"/>
      <c r="C11" s="2"/>
      <c r="D11" s="2"/>
      <c r="E11" s="4"/>
      <c r="F11" s="2"/>
      <c r="G11" s="2"/>
      <c r="H11" s="1"/>
      <c r="I11" s="23" t="s">
        <v>22</v>
      </c>
      <c r="J11" s="24">
        <v>1600</v>
      </c>
      <c r="K11" s="1"/>
    </row>
    <row r="12" spans="1:11" ht="14.25">
      <c r="A12" s="1"/>
      <c r="B12" s="94" t="s">
        <v>23</v>
      </c>
      <c r="C12" s="91"/>
      <c r="D12" s="1"/>
      <c r="E12" s="5"/>
      <c r="F12" s="1"/>
      <c r="G12" s="1"/>
      <c r="H12" s="1"/>
      <c r="I12" s="25" t="s">
        <v>24</v>
      </c>
      <c r="J12" s="26">
        <v>1000</v>
      </c>
      <c r="K12" s="1"/>
    </row>
    <row r="13" spans="1:11" ht="12.75">
      <c r="A13" s="1"/>
      <c r="B13" s="1"/>
      <c r="C13" s="1"/>
      <c r="D13" s="1"/>
      <c r="E13" s="5"/>
      <c r="F13" s="1"/>
      <c r="G13" s="1"/>
      <c r="H13" s="1"/>
      <c r="I13" s="25" t="s">
        <v>25</v>
      </c>
      <c r="J13" s="26">
        <v>2000</v>
      </c>
      <c r="K13" s="1"/>
    </row>
    <row r="14" spans="1:11" ht="14.25">
      <c r="A14" s="1"/>
      <c r="B14" s="95" t="s">
        <v>26</v>
      </c>
      <c r="C14" s="86"/>
      <c r="D14" s="27">
        <v>1000</v>
      </c>
      <c r="E14" s="96" t="s">
        <v>27</v>
      </c>
      <c r="F14" s="86"/>
      <c r="G14" s="97">
        <f>E30</f>
        <v>0</v>
      </c>
      <c r="H14" s="86"/>
      <c r="I14" s="25" t="s">
        <v>28</v>
      </c>
      <c r="J14" s="26">
        <v>1600</v>
      </c>
      <c r="K14" s="1"/>
    </row>
    <row r="15" spans="1:11" ht="12.75">
      <c r="A15" s="1"/>
      <c r="B15" s="28"/>
      <c r="C15" s="28"/>
      <c r="D15" s="2"/>
      <c r="E15" s="29"/>
      <c r="F15" s="28"/>
      <c r="G15" s="28"/>
      <c r="H15" s="28"/>
      <c r="I15" s="25" t="s">
        <v>29</v>
      </c>
      <c r="J15" s="26">
        <v>1700</v>
      </c>
      <c r="K15" s="1"/>
    </row>
    <row r="16" spans="1:11" ht="15.75" customHeight="1">
      <c r="A16" s="1"/>
      <c r="B16" s="30" t="s">
        <v>30</v>
      </c>
      <c r="C16" s="30" t="s">
        <v>31</v>
      </c>
      <c r="D16" s="30" t="s">
        <v>32</v>
      </c>
      <c r="E16" s="30" t="s">
        <v>33</v>
      </c>
      <c r="F16" s="31" t="s">
        <v>34</v>
      </c>
      <c r="G16" s="30" t="s">
        <v>35</v>
      </c>
      <c r="H16" s="30" t="s">
        <v>36</v>
      </c>
      <c r="I16" s="30" t="s">
        <v>37</v>
      </c>
      <c r="J16" s="32" t="s">
        <v>38</v>
      </c>
      <c r="K16" s="32" t="s">
        <v>39</v>
      </c>
    </row>
    <row r="17" spans="1:11" ht="12.75">
      <c r="A17" s="1"/>
      <c r="B17" s="33" t="s">
        <v>40</v>
      </c>
      <c r="C17" s="34" t="s">
        <v>41</v>
      </c>
      <c r="D17" s="35" t="s">
        <v>42</v>
      </c>
      <c r="E17" s="36"/>
      <c r="F17" s="37">
        <f ca="1">IFERROR(_xludf.NUMBERVALUE(D17),IFERROR(VALUE(SUBSTITUTE(D17,",","")),0))*IFERROR(_xludf.NUMBERVALUE($D$66),IFERROR(VALUE(SUBSTITUTE($D$66,",","")),0))</f>
        <v>0</v>
      </c>
      <c r="G17" s="38"/>
      <c r="H17" s="35"/>
      <c r="I17" s="33"/>
      <c r="J17" s="2"/>
      <c r="K17" s="4" t="str">
        <f ca="1">IFERROR(GET_COST_PRICE($D$66, B17, C17, J17), "-")</f>
        <v>-</v>
      </c>
    </row>
    <row r="18" spans="1:11" ht="12.75">
      <c r="A18" s="1"/>
      <c r="B18" s="33" t="s">
        <v>43</v>
      </c>
      <c r="C18" s="34" t="s">
        <v>44</v>
      </c>
      <c r="D18" s="36">
        <v>1000</v>
      </c>
      <c r="E18" s="39">
        <v>1</v>
      </c>
      <c r="F18" s="37">
        <f t="shared" ref="F18:F20" ca="1" si="0">IFERROR(_xludf.NUMBERVALUE(K18),IFERROR(VALUE(SUBSTITUTE(K18,",","")),0))*IF(IFERROR(_xludf.NUMBERVALUE(E18),IFERROR(VALUE(SUBSTITUTE(E18,",","")),0))&gt;0,IFERROR(_xludf.NUMBERVALUE(E18),IFERROR(VALUE(SUBSTITUTE(E18,",","")),0)),1)*IF(IFERROR(_xludf.NUMBERVALUE(H18),IFERROR(VALUE(SUBSTITUTE(H18,",","")),0))&gt;0,IFERROR(_xludf.NUMBERVALUE(H18),IFERROR(VALUE(SUBSTITUTE(H18,",","")),0)),1)</f>
        <v>0</v>
      </c>
      <c r="G18" s="40" t="s">
        <v>45</v>
      </c>
      <c r="H18" s="41">
        <v>1.5</v>
      </c>
      <c r="I18" s="33"/>
      <c r="J18" s="42" t="s">
        <v>46</v>
      </c>
      <c r="K18" s="43" t="str">
        <f t="shared" ref="K18:K20" ca="1" si="1">IFERROR(GET_COST_PRICE(1000, B18, C18, J18), "-")</f>
        <v>-</v>
      </c>
    </row>
    <row r="19" spans="1:11" ht="13.5">
      <c r="A19" s="1"/>
      <c r="B19" s="33" t="s">
        <v>43</v>
      </c>
      <c r="C19" s="83" t="s">
        <v>90</v>
      </c>
      <c r="D19" s="36">
        <v>1000</v>
      </c>
      <c r="E19" s="39">
        <v>1</v>
      </c>
      <c r="F19" s="44">
        <f t="shared" ca="1" si="0"/>
        <v>0</v>
      </c>
      <c r="G19" s="45" t="s">
        <v>45</v>
      </c>
      <c r="H19" s="46">
        <v>1.5</v>
      </c>
      <c r="I19" s="28"/>
      <c r="J19" s="47" t="s">
        <v>46</v>
      </c>
      <c r="K19" s="43" t="str">
        <f t="shared" ca="1" si="1"/>
        <v>-</v>
      </c>
    </row>
    <row r="20" spans="1:11" ht="12.75">
      <c r="A20" s="1"/>
      <c r="B20" s="33" t="s">
        <v>43</v>
      </c>
      <c r="C20" s="34" t="s">
        <v>47</v>
      </c>
      <c r="D20" s="35" t="s">
        <v>48</v>
      </c>
      <c r="E20" s="39">
        <v>1</v>
      </c>
      <c r="F20" s="37">
        <f t="shared" ca="1" si="0"/>
        <v>0</v>
      </c>
      <c r="G20" s="41" t="s">
        <v>45</v>
      </c>
      <c r="H20" s="41">
        <v>1.5</v>
      </c>
      <c r="I20" s="48"/>
      <c r="J20" s="49" t="s">
        <v>49</v>
      </c>
      <c r="K20" s="50" t="str">
        <f t="shared" ca="1" si="1"/>
        <v>-</v>
      </c>
    </row>
    <row r="21" spans="1:11" ht="12.75">
      <c r="A21" s="1"/>
      <c r="B21" s="33" t="s">
        <v>50</v>
      </c>
      <c r="C21" s="34" t="s">
        <v>51</v>
      </c>
      <c r="D21" s="34" t="s">
        <v>52</v>
      </c>
      <c r="E21" s="36"/>
      <c r="F21" s="37">
        <f t="shared" ref="F21:F25" ca="1" si="2">IFERROR(_xludf.NUMBERVALUE(D21),IFERROR(VALUE(SUBSTITUTE(D21,",","")),0))*IFERROR(_xludf.NUMBERVALUE($D$66),IFERROR(VALUE(SUBSTITUTE($D$66,",","")),0))</f>
        <v>0</v>
      </c>
      <c r="G21" s="51"/>
      <c r="H21" s="52">
        <v>1.5</v>
      </c>
      <c r="I21" s="33"/>
      <c r="J21" s="53"/>
      <c r="K21" s="4" t="str">
        <f ca="1">IFERROR(GET_COST_PRICE($D$66, B21, C21, J21), "-")</f>
        <v>-</v>
      </c>
    </row>
    <row r="22" spans="1:11" ht="12.75">
      <c r="A22" s="1"/>
      <c r="B22" s="33" t="s">
        <v>53</v>
      </c>
      <c r="C22" s="34" t="s">
        <v>54</v>
      </c>
      <c r="D22" s="34" t="s">
        <v>55</v>
      </c>
      <c r="E22" s="36"/>
      <c r="F22" s="44">
        <f t="shared" ca="1" si="2"/>
        <v>0</v>
      </c>
      <c r="G22" s="34"/>
      <c r="H22" s="34"/>
      <c r="I22" s="33"/>
      <c r="J22" s="53"/>
      <c r="K22" s="4"/>
    </row>
    <row r="23" spans="1:11" ht="12.75">
      <c r="A23" s="1"/>
      <c r="B23" s="33" t="s">
        <v>56</v>
      </c>
      <c r="C23" s="34" t="s">
        <v>57</v>
      </c>
      <c r="D23" s="34" t="s">
        <v>48</v>
      </c>
      <c r="E23" s="36"/>
      <c r="F23" s="54">
        <f t="shared" ca="1" si="2"/>
        <v>0</v>
      </c>
      <c r="G23" s="53"/>
      <c r="H23" s="34"/>
      <c r="I23" s="33"/>
      <c r="J23" s="53"/>
      <c r="K23" s="4"/>
    </row>
    <row r="24" spans="1:11" ht="12.75">
      <c r="A24" s="1"/>
      <c r="B24" s="33" t="s">
        <v>58</v>
      </c>
      <c r="C24" s="34" t="s">
        <v>59</v>
      </c>
      <c r="D24" s="53" t="s">
        <v>60</v>
      </c>
      <c r="E24" s="36"/>
      <c r="F24" s="44">
        <f t="shared" ca="1" si="2"/>
        <v>0</v>
      </c>
      <c r="G24" s="34"/>
      <c r="H24" s="55"/>
      <c r="I24" s="48"/>
      <c r="J24" s="53"/>
      <c r="K24" s="4" t="str">
        <f t="shared" ref="K24:K27" ca="1" si="3">IFERROR(GET_COST_PRICE($D$66, B24, C24, J24), "-")</f>
        <v>-</v>
      </c>
    </row>
    <row r="25" spans="1:11" ht="12.75">
      <c r="A25" s="1"/>
      <c r="B25" s="33"/>
      <c r="C25" s="34"/>
      <c r="D25" s="34"/>
      <c r="E25" s="36"/>
      <c r="F25" s="54">
        <f t="shared" ca="1" si="2"/>
        <v>0</v>
      </c>
      <c r="G25" s="38"/>
      <c r="H25" s="34"/>
      <c r="I25" s="33"/>
      <c r="J25" s="53"/>
      <c r="K25" s="4" t="str">
        <f t="shared" ca="1" si="3"/>
        <v>-</v>
      </c>
    </row>
    <row r="26" spans="1:11" ht="12.75">
      <c r="A26" s="1"/>
      <c r="B26" s="28" t="s">
        <v>61</v>
      </c>
      <c r="C26" s="34" t="s">
        <v>62</v>
      </c>
      <c r="D26" s="38" t="s">
        <v>63</v>
      </c>
      <c r="E26" s="36"/>
      <c r="F26" s="56">
        <f ca="1">3000*IFERROR(_xludf.NUMBERVALUE(D26),IFERROR(VALUE(SUBSTITUTE(D26,",","")),0))</f>
        <v>30000</v>
      </c>
      <c r="G26" s="57"/>
      <c r="H26" s="58"/>
      <c r="I26" s="33"/>
      <c r="J26" s="53"/>
      <c r="K26" s="4" t="str">
        <f t="shared" ca="1" si="3"/>
        <v>-</v>
      </c>
    </row>
    <row r="27" spans="1:11" ht="15.75" customHeight="1">
      <c r="A27" s="1"/>
      <c r="B27" s="59" t="s">
        <v>64</v>
      </c>
      <c r="C27" s="60"/>
      <c r="D27" s="61"/>
      <c r="E27" s="60"/>
      <c r="F27" s="62">
        <f ca="1">-ABS(IFERROR(_xludf.NUMBERVALUE(H27),IFERROR(VALUE(SUBSTITUTE(H27,",","")),0)))*IFERROR(_xludf.NUMBERVALUE($D$66),IFERROR(VALUE(SUBSTITUTE($D$66,",","")),0))</f>
        <v>0</v>
      </c>
      <c r="G27" s="63" t="s">
        <v>65</v>
      </c>
      <c r="H27" s="64"/>
      <c r="I27" s="61"/>
      <c r="J27" s="2"/>
      <c r="K27" s="4" t="str">
        <f t="shared" ca="1" si="3"/>
        <v>-</v>
      </c>
    </row>
    <row r="28" spans="1:11" ht="12.75">
      <c r="A28" s="1"/>
      <c r="B28" s="28"/>
      <c r="C28" s="36"/>
      <c r="D28" s="33"/>
      <c r="E28" s="36"/>
      <c r="F28" s="65"/>
      <c r="G28" s="66"/>
      <c r="H28" s="57"/>
      <c r="I28" s="33"/>
      <c r="J28" s="2"/>
      <c r="K28" s="4"/>
    </row>
    <row r="29" spans="1:11" ht="15.75" customHeight="1">
      <c r="A29" s="1"/>
      <c r="B29" s="85" t="s">
        <v>66</v>
      </c>
      <c r="C29" s="86"/>
      <c r="D29" s="87"/>
      <c r="E29" s="89">
        <f ca="1">SUM(F17:F29)</f>
        <v>30000</v>
      </c>
      <c r="F29" s="87"/>
      <c r="G29" s="67">
        <v>1500000</v>
      </c>
      <c r="H29" s="57"/>
      <c r="I29" s="33"/>
      <c r="J29" s="2"/>
      <c r="K29" s="4"/>
    </row>
    <row r="30" spans="1:11" ht="14.25">
      <c r="A30" s="1"/>
      <c r="B30" s="88" t="s">
        <v>67</v>
      </c>
      <c r="C30" s="86"/>
      <c r="D30" s="86"/>
      <c r="E30" s="89"/>
      <c r="F30" s="86"/>
      <c r="G30" s="36"/>
      <c r="H30" s="68"/>
      <c r="I30" s="33"/>
      <c r="J30" s="1"/>
      <c r="K30" s="2"/>
    </row>
    <row r="31" spans="1:11" ht="12.75">
      <c r="A31" s="1"/>
      <c r="B31" s="2"/>
      <c r="C31" s="1"/>
      <c r="D31" s="1"/>
      <c r="E31" s="1"/>
      <c r="F31" s="5"/>
      <c r="G31" s="1"/>
      <c r="H31" s="1"/>
      <c r="I31" s="1"/>
      <c r="J31" s="2" t="s">
        <v>68</v>
      </c>
      <c r="K31" s="19">
        <f>380*D14</f>
        <v>380000</v>
      </c>
    </row>
    <row r="32" spans="1:11" ht="14.25">
      <c r="A32" s="1"/>
      <c r="B32" s="69" t="s">
        <v>69</v>
      </c>
      <c r="C32" s="2"/>
      <c r="D32" s="2"/>
      <c r="E32" s="5"/>
      <c r="F32" s="2"/>
      <c r="G32" s="2"/>
      <c r="H32" s="2"/>
      <c r="I32" s="2"/>
      <c r="J32" s="2" t="s">
        <v>70</v>
      </c>
      <c r="K32" s="4"/>
    </row>
    <row r="33" spans="1:11" ht="12.75">
      <c r="A33" s="1"/>
      <c r="B33" s="70" t="s">
        <v>71</v>
      </c>
      <c r="C33" s="2"/>
      <c r="D33" s="2"/>
      <c r="E33" s="5"/>
      <c r="F33" s="2"/>
      <c r="G33" s="2"/>
      <c r="H33" s="2"/>
      <c r="I33" s="2"/>
      <c r="J33" s="2"/>
      <c r="K33" s="4"/>
    </row>
    <row r="34" spans="1:11" ht="12.75">
      <c r="A34" s="1"/>
      <c r="B34" s="2"/>
      <c r="C34" s="2"/>
      <c r="D34" s="2"/>
      <c r="E34" s="4"/>
      <c r="F34" s="2"/>
      <c r="G34" s="2"/>
      <c r="H34" s="2"/>
      <c r="I34" s="2"/>
      <c r="J34" s="2"/>
      <c r="K34" s="4"/>
    </row>
    <row r="35" spans="1:11" ht="12.75">
      <c r="A35" s="1"/>
      <c r="B35" s="70" t="s">
        <v>72</v>
      </c>
      <c r="C35" s="2"/>
      <c r="D35" s="2"/>
      <c r="E35" s="5"/>
      <c r="F35" s="2"/>
      <c r="G35" s="2"/>
      <c r="H35" s="2"/>
      <c r="I35" s="2"/>
      <c r="J35" s="2"/>
      <c r="K35" s="4"/>
    </row>
    <row r="36" spans="1:11" ht="12.75">
      <c r="A36" s="1"/>
      <c r="B36" s="2"/>
      <c r="C36" s="4"/>
      <c r="D36" s="2"/>
      <c r="E36" s="2"/>
      <c r="F36" s="2"/>
      <c r="G36" s="2"/>
      <c r="H36" s="2"/>
      <c r="I36" s="1"/>
      <c r="J36" s="2"/>
      <c r="K36" s="4"/>
    </row>
    <row r="37" spans="1:11" ht="14.25">
      <c r="A37" s="1"/>
      <c r="B37" s="69" t="s">
        <v>73</v>
      </c>
      <c r="C37" s="4" t="s">
        <v>74</v>
      </c>
      <c r="D37" s="19">
        <f>(1100-380)*D14</f>
        <v>720000</v>
      </c>
      <c r="E37" s="4" t="s">
        <v>75</v>
      </c>
      <c r="F37" s="71"/>
      <c r="G37" s="72" t="s">
        <v>76</v>
      </c>
      <c r="H37" s="73">
        <v>0.238596480065662</v>
      </c>
      <c r="I37" s="1"/>
      <c r="J37" s="2"/>
      <c r="K37" s="4"/>
    </row>
    <row r="38" spans="1:11" ht="12.75">
      <c r="A38" s="1"/>
      <c r="B38" s="2"/>
      <c r="C38" s="2" t="s">
        <v>77</v>
      </c>
      <c r="D38" s="19">
        <f>(800-350)*D14</f>
        <v>450000</v>
      </c>
      <c r="E38" s="4"/>
      <c r="F38" s="2"/>
      <c r="G38" s="74" t="s">
        <v>78</v>
      </c>
      <c r="H38" s="75">
        <f t="shared" ref="H38:H39" ca="1" si="4">SUM(F17:F21)</f>
        <v>0</v>
      </c>
      <c r="I38" s="1"/>
      <c r="J38" s="2"/>
      <c r="K38" s="4"/>
    </row>
    <row r="39" spans="1:11" ht="12.75">
      <c r="A39" s="1"/>
      <c r="B39" s="76" t="s">
        <v>79</v>
      </c>
      <c r="C39" s="2"/>
      <c r="D39" s="76" t="s">
        <v>80</v>
      </c>
      <c r="E39" s="4"/>
      <c r="F39" s="2"/>
      <c r="G39" s="74" t="s">
        <v>81</v>
      </c>
      <c r="H39" s="77">
        <f t="shared" ca="1" si="4"/>
        <v>0</v>
      </c>
      <c r="I39" s="1"/>
      <c r="J39" s="2"/>
      <c r="K39" s="4"/>
    </row>
    <row r="40" spans="1:11" ht="14.25">
      <c r="A40" s="1"/>
      <c r="B40" s="78" t="s">
        <v>82</v>
      </c>
      <c r="C40" s="79">
        <v>6000</v>
      </c>
      <c r="D40" s="78" t="s">
        <v>83</v>
      </c>
      <c r="E40" s="79">
        <v>7200</v>
      </c>
      <c r="F40" s="1"/>
      <c r="G40" s="82" t="s">
        <v>88</v>
      </c>
      <c r="H40" s="80">
        <f>ROUND(E30/1.1,0)/D14</f>
        <v>0</v>
      </c>
      <c r="I40" s="1"/>
      <c r="J40" s="2"/>
      <c r="K40" s="4"/>
    </row>
    <row r="41" spans="1:11" ht="14.25">
      <c r="A41" s="1"/>
      <c r="B41" s="78" t="s">
        <v>84</v>
      </c>
      <c r="C41" s="1"/>
      <c r="D41" s="78" t="s">
        <v>85</v>
      </c>
      <c r="E41" s="79">
        <v>6800</v>
      </c>
      <c r="F41" s="1"/>
      <c r="G41" s="82" t="s">
        <v>89</v>
      </c>
      <c r="H41" s="81">
        <f>E30/D14</f>
        <v>0</v>
      </c>
      <c r="I41" s="1"/>
      <c r="J41" s="2"/>
      <c r="K41" s="4"/>
    </row>
    <row r="42" spans="1:11" ht="12.75">
      <c r="A42" s="1"/>
      <c r="B42" s="2"/>
      <c r="C42" s="2"/>
      <c r="D42" s="78" t="s">
        <v>86</v>
      </c>
      <c r="E42" s="79">
        <v>8520</v>
      </c>
      <c r="F42" s="2"/>
      <c r="G42" s="2"/>
      <c r="H42" s="2"/>
      <c r="I42" s="1"/>
      <c r="J42" s="2"/>
      <c r="K42" s="4"/>
    </row>
  </sheetData>
  <mergeCells count="10">
    <mergeCell ref="B29:D29"/>
    <mergeCell ref="B30:D30"/>
    <mergeCell ref="E30:F30"/>
    <mergeCell ref="C3:H3"/>
    <mergeCell ref="F6:H6"/>
    <mergeCell ref="B12:C12"/>
    <mergeCell ref="B14:C14"/>
    <mergeCell ref="E14:F14"/>
    <mergeCell ref="G14:H14"/>
    <mergeCell ref="E29:F29"/>
  </mergeCells>
  <phoneticPr fontId="20" type="noConversion"/>
  <dataValidations count="15">
    <dataValidation type="list" allowBlank="1" sqref="D22" xr:uid="{00000000-0002-0000-0000-000000000000}">
      <formula1>"1600,2100"</formula1>
    </dataValidation>
    <dataValidation type="list" allowBlank="1" sqref="D21" xr:uid="{00000000-0002-0000-0000-000001000000}">
      <formula1>"1100,380"</formula1>
    </dataValidation>
    <dataValidation type="list" allowBlank="1" sqref="C24:C25" xr:uid="{00000000-0002-0000-0000-000002000000}">
      <formula1>"벌크,개별OPP"</formula1>
    </dataValidation>
    <dataValidation type="list" allowBlank="1" sqref="D24:D25" xr:uid="{00000000-0002-0000-0000-000003000000}">
      <formula1>"0,450"</formula1>
    </dataValidation>
    <dataValidation type="list" allowBlank="1" sqref="C22" xr:uid="{00000000-0002-0000-0000-000004000000}">
      <formula1>"기본사각,ㄷ자형"</formula1>
    </dataValidation>
    <dataValidation type="list" allowBlank="1" sqref="J17:J27" xr:uid="{00000000-0002-0000-0000-000005000000}">
      <formula1>"레드프린팅,애즈랜드"</formula1>
    </dataValidation>
    <dataValidation type="list" allowBlank="1" sqref="C18:C20" xr:uid="{00000000-0002-0000-0000-000006000000}">
      <formula1>"*앞|기본형,*앞|투명카드+절단필요,*앞|고투명,*앞|V자형,*앞|N자형,*앞|M자형,*뒤|기본사각,*뒤|ㄷ자형,*스티커"</formula1>
    </dataValidation>
    <dataValidation type="list" allowBlank="1" sqref="C21" xr:uid="{00000000-0002-0000-0000-000007000000}">
      <formula1>"태그 포함,태그 미포함"</formula1>
    </dataValidation>
    <dataValidation type="list" allowBlank="1" sqref="B27" xr:uid="{00000000-0002-0000-0000-000008000000}">
      <formula1>"미니CD+케이스,내지 및 스티커 제작,NFC 태그,CD커버 끼움공정(뒤),CD커버 끼움공정(앞),포장,배송비,컬러군번줄,전용PET,전용PET 끼움공정,PET내지제작,할인,할인가"</formula1>
    </dataValidation>
    <dataValidation type="list" allowBlank="1" sqref="C26" xr:uid="{00000000-0002-0000-0000-000009000000}">
      <formula1>"택배,퀵"</formula1>
    </dataValidation>
    <dataValidation type="list" allowBlank="1" sqref="D17" xr:uid="{00000000-0002-0000-0000-00000A000000}">
      <formula1>"890,1390"</formula1>
    </dataValidation>
    <dataValidation type="list" allowBlank="1" sqref="C23" xr:uid="{00000000-0002-0000-0000-00000B000000}">
      <formula1>"기본형,N자형,V자형,M자형,고투명,투명카드+절단필요"</formula1>
    </dataValidation>
    <dataValidation type="list" allowBlank="1" sqref="B17:B26" xr:uid="{00000000-0002-0000-0000-00000C000000}">
      <formula1>"미니CD+케이스,내지 및 스티커 제작,NFC 태그,CD커버 끼움공정(뒤),CD커버 끼움공정(앞),포장,배송비,컬러군번줄,전용PET,전용PET 끼움공정,PET내지제작,할인"</formula1>
    </dataValidation>
    <dataValidation type="list" allowBlank="1" sqref="C17" xr:uid="{00000000-0002-0000-0000-00000D000000}">
      <formula1>"홀로그램 미포함,홀로그램 포함"</formula1>
    </dataValidation>
    <dataValidation type="list" allowBlank="1" sqref="D23" xr:uid="{00000000-0002-0000-0000-00000E000000}">
      <formula1>"1000,1700,1600,1800,0"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상연 한</cp:lastModifiedBy>
  <dcterms:modified xsi:type="dcterms:W3CDTF">2026-01-15T23:53:59Z</dcterms:modified>
</cp:coreProperties>
</file>